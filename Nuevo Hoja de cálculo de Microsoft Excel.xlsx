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etapa 3 metodos_numericos\"/>
    </mc:Choice>
  </mc:AlternateContent>
  <xr:revisionPtr revIDLastSave="0" documentId="13_ncr:1_{C5CCC11C-5E85-4EC2-B7E7-AB0D6C688AA7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Metodo Gauss-Seidel" sheetId="1" r:id="rId1"/>
    <sheet name="Metodo SOR" sheetId="4" r:id="rId2"/>
    <sheet name="Metodo Gradiente Cojugado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6" i="4" l="1"/>
  <c r="Q16" i="4" s="1"/>
  <c r="R16" i="4" s="1"/>
  <c r="S16" i="4" s="1"/>
  <c r="P17" i="4"/>
  <c r="Q17" i="4" s="1"/>
  <c r="R17" i="4" s="1"/>
  <c r="S17" i="4" s="1"/>
  <c r="P18" i="4"/>
  <c r="Q18" i="4" s="1"/>
  <c r="R18" i="4" s="1"/>
  <c r="S18" i="4" s="1"/>
  <c r="P19" i="4"/>
  <c r="Q19" i="4" s="1"/>
  <c r="R19" i="4" s="1"/>
  <c r="S19" i="4" s="1"/>
  <c r="P20" i="4"/>
  <c r="Q20" i="4" s="1"/>
  <c r="R20" i="4" s="1"/>
  <c r="S20" i="4" s="1"/>
  <c r="P15" i="4"/>
  <c r="Q15" i="4" s="1"/>
  <c r="R15" i="4" s="1"/>
  <c r="S15" i="4" s="1"/>
  <c r="W17" i="4" l="1"/>
  <c r="W20" i="4"/>
  <c r="U20" i="4"/>
  <c r="W19" i="4"/>
  <c r="V20" i="4"/>
  <c r="T20" i="4"/>
  <c r="V19" i="4"/>
  <c r="U19" i="4"/>
  <c r="T19" i="4"/>
  <c r="W18" i="4"/>
  <c r="V18" i="4"/>
  <c r="V17" i="4"/>
  <c r="T18" i="4"/>
  <c r="U17" i="4"/>
  <c r="U18" i="4"/>
  <c r="T17" i="4"/>
  <c r="W16" i="4"/>
  <c r="T16" i="4"/>
  <c r="U16" i="4"/>
  <c r="V16" i="4"/>
  <c r="U13" i="1" l="1"/>
  <c r="V13" i="1" s="1"/>
  <c r="U14" i="1"/>
  <c r="U15" i="1"/>
  <c r="U16" i="1"/>
  <c r="V16" i="1" s="1"/>
  <c r="U17" i="1"/>
  <c r="V17" i="1" s="1"/>
  <c r="U18" i="1"/>
  <c r="U12" i="1"/>
  <c r="V12" i="1" l="1"/>
  <c r="W12" i="1" s="1"/>
  <c r="X12" i="1" s="1"/>
  <c r="Z13" i="1"/>
  <c r="Z17" i="1"/>
  <c r="Y13" i="1"/>
  <c r="V18" i="1"/>
  <c r="Y18" i="1"/>
  <c r="Y16" i="1"/>
  <c r="Y17" i="1"/>
  <c r="V15" i="1"/>
  <c r="Y15" i="1"/>
  <c r="V14" i="1"/>
  <c r="Y14" i="1"/>
  <c r="W17" i="1"/>
  <c r="X17" i="1" s="1"/>
  <c r="W13" i="1"/>
  <c r="W16" i="1"/>
  <c r="X13" i="1" l="1"/>
  <c r="AB13" i="1" s="1"/>
  <c r="AA13" i="1"/>
  <c r="Z18" i="1"/>
  <c r="W18" i="1"/>
  <c r="X16" i="1"/>
  <c r="AB17" i="1" s="1"/>
  <c r="AA17" i="1"/>
  <c r="W15" i="1"/>
  <c r="Z16" i="1"/>
  <c r="Z14" i="1"/>
  <c r="Z15" i="1"/>
  <c r="W14" i="1"/>
  <c r="X18" i="1" l="1"/>
  <c r="AA18" i="1"/>
  <c r="X15" i="1"/>
  <c r="AB16" i="1" s="1"/>
  <c r="AA16" i="1"/>
  <c r="AA14" i="1"/>
  <c r="AA15" i="1"/>
  <c r="X14" i="1"/>
  <c r="AB18" i="1" l="1"/>
  <c r="AB15" i="1"/>
  <c r="AB14" i="1"/>
</calcChain>
</file>

<file path=xl/sharedStrings.xml><?xml version="1.0" encoding="utf-8"?>
<sst xmlns="http://schemas.openxmlformats.org/spreadsheetml/2006/main" count="60" uniqueCount="23">
  <si>
    <t xml:space="preserve">                  Matriz de coeficiente A</t>
  </si>
  <si>
    <t>Vector B</t>
  </si>
  <si>
    <t>Columna1</t>
  </si>
  <si>
    <t>Iteraciones</t>
  </si>
  <si>
    <t xml:space="preserve">                    valores iniciales</t>
  </si>
  <si>
    <t xml:space="preserve">                       valores nuevos</t>
  </si>
  <si>
    <t>x1</t>
  </si>
  <si>
    <t>x2</t>
  </si>
  <si>
    <t>x3</t>
  </si>
  <si>
    <t>x4</t>
  </si>
  <si>
    <t xml:space="preserve"> </t>
  </si>
  <si>
    <t>error porcentual</t>
  </si>
  <si>
    <t xml:space="preserve">solucion exacta </t>
  </si>
  <si>
    <t>folumula de Gauss-Seidel</t>
  </si>
  <si>
    <t>despeje de ecuacion</t>
  </si>
  <si>
    <t>solucion exacta</t>
  </si>
  <si>
    <t>r1</t>
  </si>
  <si>
    <t>r2</t>
  </si>
  <si>
    <t>r3</t>
  </si>
  <si>
    <t>r4</t>
  </si>
  <si>
    <t xml:space="preserve">                             residuos nuevos</t>
  </si>
  <si>
    <t xml:space="preserve">                                Vectores nuevos</t>
  </si>
  <si>
    <t>Solucion exacta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</si>
</sst>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10" borderId="0" xfId="0" applyNumberFormat="1" applyFill="1" applyAlignment="1">
      <alignment horizontal="center"/>
    </xf>
    <xf numFmtId="0" fontId="0" fillId="10" borderId="0" xfId="0" applyFill="1"/>
    <xf numFmtId="164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17</xdr:row>
      <xdr:rowOff>219075</xdr:rowOff>
    </xdr:from>
    <xdr:to>
      <xdr:col>12</xdr:col>
      <xdr:colOff>528</xdr:colOff>
      <xdr:row>37</xdr:row>
      <xdr:rowOff>19561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9E2315-A762-73B4-B10A-285272411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3775" y="3457575"/>
          <a:ext cx="3781953" cy="3658111"/>
        </a:xfrm>
        <a:prstGeom prst="rect">
          <a:avLst/>
        </a:prstGeom>
      </xdr:spPr>
    </xdr:pic>
    <xdr:clientData/>
  </xdr:twoCellAnchor>
  <xdr:twoCellAnchor editAs="oneCell">
    <xdr:from>
      <xdr:col>15</xdr:col>
      <xdr:colOff>400050</xdr:colOff>
      <xdr:row>23</xdr:row>
      <xdr:rowOff>19050</xdr:rowOff>
    </xdr:from>
    <xdr:to>
      <xdr:col>19</xdr:col>
      <xdr:colOff>561975</xdr:colOff>
      <xdr:row>25</xdr:row>
      <xdr:rowOff>133419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F2B501-054C-CB01-2D38-D02DFF55F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4550" y="4400550"/>
          <a:ext cx="2600325" cy="495369"/>
        </a:xfrm>
        <a:prstGeom prst="rect">
          <a:avLst/>
        </a:prstGeom>
      </xdr:spPr>
    </xdr:pic>
    <xdr:clientData/>
  </xdr:twoCellAnchor>
  <xdr:twoCellAnchor>
    <xdr:from>
      <xdr:col>19</xdr:col>
      <xdr:colOff>552450</xdr:colOff>
      <xdr:row>18</xdr:row>
      <xdr:rowOff>161925</xdr:rowOff>
    </xdr:from>
    <xdr:to>
      <xdr:col>22</xdr:col>
      <xdr:colOff>76200</xdr:colOff>
      <xdr:row>24</xdr:row>
      <xdr:rowOff>76235</xdr:rowOff>
    </xdr:to>
    <xdr:cxnSp macro="">
      <xdr:nvCxnSpPr>
        <xdr:cNvPr id="5" name="Conector: angular 4">
          <a:extLst>
            <a:ext uri="{FF2B5EF4-FFF2-40B4-BE49-F238E27FC236}">
              <a16:creationId xmlns:a16="http://schemas.microsoft.com/office/drawing/2014/main" id="{53B657C2-5980-BDF2-4FC5-E8AD9CB5E008}"/>
            </a:ext>
          </a:extLst>
        </xdr:cNvPr>
        <xdr:cNvCxnSpPr/>
      </xdr:nvCxnSpPr>
      <xdr:spPr>
        <a:xfrm flipV="1">
          <a:off x="12325350" y="3590925"/>
          <a:ext cx="1352550" cy="1057310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22</xdr:row>
      <xdr:rowOff>0</xdr:rowOff>
    </xdr:from>
    <xdr:to>
      <xdr:col>4</xdr:col>
      <xdr:colOff>190796</xdr:colOff>
      <xdr:row>34</xdr:row>
      <xdr:rowOff>38424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DC4E92-5BC4-4866-26DF-CBA2987C1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425" y="4191000"/>
          <a:ext cx="2124371" cy="2324424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24</xdr:row>
      <xdr:rowOff>28575</xdr:rowOff>
    </xdr:from>
    <xdr:to>
      <xdr:col>11</xdr:col>
      <xdr:colOff>343635</xdr:colOff>
      <xdr:row>34</xdr:row>
      <xdr:rowOff>9788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40A7CA-34BC-42AE-850F-C5E02145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7575" y="4600575"/>
          <a:ext cx="5268060" cy="1886213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37</xdr:row>
      <xdr:rowOff>9525</xdr:rowOff>
    </xdr:from>
    <xdr:to>
      <xdr:col>12</xdr:col>
      <xdr:colOff>77016</xdr:colOff>
      <xdr:row>43</xdr:row>
      <xdr:rowOff>19211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A2FD185-DD6C-45D2-A72F-85AA5CB48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71850" y="7058025"/>
          <a:ext cx="5849166" cy="1152686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24</xdr:row>
      <xdr:rowOff>95250</xdr:rowOff>
    </xdr:from>
    <xdr:to>
      <xdr:col>15</xdr:col>
      <xdr:colOff>371475</xdr:colOff>
      <xdr:row>27</xdr:row>
      <xdr:rowOff>19119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015CA43-14C7-4227-AEDF-9947AB6E2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1150" y="4667250"/>
          <a:ext cx="2600325" cy="495369"/>
        </a:xfrm>
        <a:prstGeom prst="rect">
          <a:avLst/>
        </a:prstGeom>
      </xdr:spPr>
    </xdr:pic>
    <xdr:clientData/>
  </xdr:twoCellAnchor>
  <xdr:twoCellAnchor>
    <xdr:from>
      <xdr:col>15</xdr:col>
      <xdr:colOff>371475</xdr:colOff>
      <xdr:row>20</xdr:row>
      <xdr:rowOff>38100</xdr:rowOff>
    </xdr:from>
    <xdr:to>
      <xdr:col>17</xdr:col>
      <xdr:colOff>28575</xdr:colOff>
      <xdr:row>25</xdr:row>
      <xdr:rowOff>152435</xdr:rowOff>
    </xdr:to>
    <xdr:cxnSp macro="">
      <xdr:nvCxnSpPr>
        <xdr:cNvPr id="7" name="Conector: angular 6">
          <a:extLst>
            <a:ext uri="{FF2B5EF4-FFF2-40B4-BE49-F238E27FC236}">
              <a16:creationId xmlns:a16="http://schemas.microsoft.com/office/drawing/2014/main" id="{719FEDD8-AD84-8F33-806E-79199631D611}"/>
            </a:ext>
          </a:extLst>
        </xdr:cNvPr>
        <xdr:cNvCxnSpPr>
          <a:stCxn id="5" idx="3"/>
        </xdr:cNvCxnSpPr>
      </xdr:nvCxnSpPr>
      <xdr:spPr>
        <a:xfrm flipV="1">
          <a:off x="11801475" y="3848100"/>
          <a:ext cx="1181100" cy="1066835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47625</xdr:colOff>
      <xdr:row>14</xdr:row>
      <xdr:rowOff>85725</xdr:rowOff>
    </xdr:from>
    <xdr:to>
      <xdr:col>22</xdr:col>
      <xdr:colOff>628837</xdr:colOff>
      <xdr:row>16</xdr:row>
      <xdr:rowOff>57199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D9E180-786F-051F-5B7A-4459ACB7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49625" y="2752725"/>
          <a:ext cx="1343212" cy="352474"/>
        </a:xfrm>
        <a:prstGeom prst="rect">
          <a:avLst/>
        </a:prstGeom>
      </xdr:spPr>
    </xdr:pic>
    <xdr:clientData/>
  </xdr:twoCellAnchor>
  <xdr:twoCellAnchor>
    <xdr:from>
      <xdr:col>20</xdr:col>
      <xdr:colOff>9525</xdr:colOff>
      <xdr:row>15</xdr:row>
      <xdr:rowOff>71462</xdr:rowOff>
    </xdr:from>
    <xdr:to>
      <xdr:col>21</xdr:col>
      <xdr:colOff>47625</xdr:colOff>
      <xdr:row>15</xdr:row>
      <xdr:rowOff>85725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F4273BC9-21C4-DFA9-629A-B4AE8B5935F2}"/>
            </a:ext>
          </a:extLst>
        </xdr:cNvPr>
        <xdr:cNvCxnSpPr>
          <a:endCxn id="2" idx="1"/>
        </xdr:cNvCxnSpPr>
      </xdr:nvCxnSpPr>
      <xdr:spPr>
        <a:xfrm flipV="1">
          <a:off x="15249525" y="2928962"/>
          <a:ext cx="800100" cy="142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152400</xdr:colOff>
      <xdr:row>20</xdr:row>
      <xdr:rowOff>76200</xdr:rowOff>
    </xdr:from>
    <xdr:to>
      <xdr:col>11</xdr:col>
      <xdr:colOff>466725</xdr:colOff>
      <xdr:row>23</xdr:row>
      <xdr:rowOff>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B9F43FA-84D6-46FF-9FA2-5979E2D84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0" y="3886200"/>
          <a:ext cx="2600325" cy="495369"/>
        </a:xfrm>
        <a:prstGeom prst="rect">
          <a:avLst/>
        </a:prstGeom>
      </xdr:spPr>
    </xdr:pic>
    <xdr:clientData/>
  </xdr:twoCellAnchor>
  <xdr:twoCellAnchor>
    <xdr:from>
      <xdr:col>11</xdr:col>
      <xdr:colOff>466725</xdr:colOff>
      <xdr:row>16</xdr:row>
      <xdr:rowOff>47625</xdr:rowOff>
    </xdr:from>
    <xdr:to>
      <xdr:col>14</xdr:col>
      <xdr:colOff>38100</xdr:colOff>
      <xdr:row>21</xdr:row>
      <xdr:rowOff>133385</xdr:rowOff>
    </xdr:to>
    <xdr:cxnSp macro="">
      <xdr:nvCxnSpPr>
        <xdr:cNvPr id="7" name="Conector: angular 6">
          <a:extLst>
            <a:ext uri="{FF2B5EF4-FFF2-40B4-BE49-F238E27FC236}">
              <a16:creationId xmlns:a16="http://schemas.microsoft.com/office/drawing/2014/main" id="{6BEA71EE-5D3E-314B-6C25-1675723A73A6}"/>
            </a:ext>
          </a:extLst>
        </xdr:cNvPr>
        <xdr:cNvCxnSpPr>
          <a:stCxn id="5" idx="3"/>
        </xdr:cNvCxnSpPr>
      </xdr:nvCxnSpPr>
      <xdr:spPr>
        <a:xfrm flipV="1">
          <a:off x="8848725" y="3095625"/>
          <a:ext cx="1857375" cy="1038260"/>
        </a:xfrm>
        <a:prstGeom prst="bentConnector3">
          <a:avLst>
            <a:gd name="adj1" fmla="val 10025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9AB59-BBD5-4210-8DC6-BA24679BC589}" name="Tabla13" displayName="Tabla13" ref="P10:P18" totalsRowShown="0">
  <autoFilter ref="P10:P18" xr:uid="{CF09AB59-BBD5-4210-8DC6-BA24679BC589}"/>
  <sortState xmlns:xlrd2="http://schemas.microsoft.com/office/spreadsheetml/2017/richdata2" ref="P11:P18">
    <sortCondition sortBy="cellColor" ref="P11:P18" dxfId="3"/>
  </sortState>
  <tableColumns count="1">
    <tableColumn id="1" xr3:uid="{3FDFE0B9-8B74-42DE-942A-31F79F5C570F}" name="Colum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671CDD-0617-4CC8-9EE7-F44669610518}" name="Tabla135" displayName="Tabla135" ref="K13:K20" totalsRowShown="0">
  <autoFilter ref="K13:K20" xr:uid="{33671CDD-0617-4CC8-9EE7-F44669610518}"/>
  <sortState xmlns:xlrd2="http://schemas.microsoft.com/office/spreadsheetml/2017/richdata2" ref="K14:K20">
    <sortCondition sortBy="cellColor" ref="K11:K18" dxfId="2"/>
  </sortState>
  <tableColumns count="1">
    <tableColumn id="1" xr3:uid="{0171B232-5D73-4457-976F-A16CB95D5024}" name="Colum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FDC53E-5041-42F6-8CCF-ECD10C32254B}" name="Tabla1356" displayName="Tabla1356" ref="L10:L16" totalsRowShown="0">
  <autoFilter ref="L10:L16" xr:uid="{71FDC53E-5041-42F6-8CCF-ECD10C32254B}"/>
  <sortState xmlns:xlrd2="http://schemas.microsoft.com/office/spreadsheetml/2017/richdata2" ref="L11:L16">
    <sortCondition sortBy="cellColor" ref="L11:L17" dxfId="1"/>
  </sortState>
  <tableColumns count="1">
    <tableColumn id="1" xr3:uid="{DB2A8909-0DE0-47F5-B035-3D9438A015F2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9:AB27"/>
  <sheetViews>
    <sheetView workbookViewId="0">
      <selection activeCell="F9" sqref="F9:K14"/>
    </sheetView>
  </sheetViews>
  <sheetFormatPr baseColWidth="10" defaultColWidth="9.140625" defaultRowHeight="15" x14ac:dyDescent="0.25"/>
  <cols>
    <col min="14" max="14" width="12" customWidth="1"/>
  </cols>
  <sheetData>
    <row r="9" spans="7:28" x14ac:dyDescent="0.25">
      <c r="N9" s="12"/>
    </row>
    <row r="10" spans="7:28" x14ac:dyDescent="0.25">
      <c r="G10" s="1" t="s">
        <v>0</v>
      </c>
      <c r="H10" s="1"/>
      <c r="I10" s="1"/>
      <c r="J10" s="1"/>
      <c r="K10" s="4" t="s">
        <v>1</v>
      </c>
      <c r="N10" s="12"/>
      <c r="P10" t="s">
        <v>2</v>
      </c>
      <c r="Q10" s="5" t="s">
        <v>4</v>
      </c>
      <c r="R10" s="5"/>
      <c r="S10" s="5"/>
      <c r="T10" s="5" t="s">
        <v>10</v>
      </c>
      <c r="U10" s="6" t="s">
        <v>5</v>
      </c>
      <c r="V10" s="6"/>
      <c r="W10" s="6"/>
      <c r="X10" s="6"/>
      <c r="Y10" s="15"/>
      <c r="Z10" s="15" t="s">
        <v>11</v>
      </c>
      <c r="AA10" s="15"/>
      <c r="AB10" s="15"/>
    </row>
    <row r="11" spans="7:28" x14ac:dyDescent="0.25">
      <c r="G11" s="2">
        <v>4</v>
      </c>
      <c r="H11" s="2">
        <v>-1</v>
      </c>
      <c r="I11" s="2">
        <v>0</v>
      </c>
      <c r="J11" s="2">
        <v>0</v>
      </c>
      <c r="K11" s="3">
        <v>15</v>
      </c>
      <c r="N11" s="11"/>
      <c r="P11" t="s">
        <v>3</v>
      </c>
      <c r="Q11" s="7" t="s">
        <v>6</v>
      </c>
      <c r="R11" s="7" t="s">
        <v>7</v>
      </c>
      <c r="S11" s="7" t="s">
        <v>8</v>
      </c>
      <c r="T11" s="8" t="s">
        <v>9</v>
      </c>
      <c r="U11" s="8" t="s">
        <v>6</v>
      </c>
      <c r="V11" s="8" t="s">
        <v>7</v>
      </c>
      <c r="W11" s="8" t="s">
        <v>8</v>
      </c>
      <c r="X11" s="8" t="s">
        <v>9</v>
      </c>
      <c r="Y11" s="8" t="s">
        <v>6</v>
      </c>
      <c r="Z11" s="8" t="s">
        <v>7</v>
      </c>
      <c r="AA11" s="8" t="s">
        <v>8</v>
      </c>
      <c r="AB11" s="8" t="s">
        <v>9</v>
      </c>
    </row>
    <row r="12" spans="7:28" x14ac:dyDescent="0.25">
      <c r="G12" s="2">
        <v>-1</v>
      </c>
      <c r="H12" s="2">
        <v>4</v>
      </c>
      <c r="I12" s="2">
        <v>-1</v>
      </c>
      <c r="J12" s="2">
        <v>0</v>
      </c>
      <c r="K12" s="3">
        <v>10</v>
      </c>
      <c r="N12" s="11"/>
      <c r="P12">
        <v>1</v>
      </c>
      <c r="Q12" s="9">
        <v>0</v>
      </c>
      <c r="R12" s="9">
        <v>0</v>
      </c>
      <c r="S12" s="9">
        <v>0</v>
      </c>
      <c r="T12" s="9">
        <v>0</v>
      </c>
      <c r="U12" s="10">
        <f>($K$11-$H$11*R12-$I$11*S12-$J$11*T12)/$G$11</f>
        <v>3.75</v>
      </c>
      <c r="V12" s="10">
        <f>($K$12-$G$12*U12-$I$12*S12-$J$12*T12)/$H$12</f>
        <v>3.4375</v>
      </c>
      <c r="W12" s="10">
        <f>($K$13-$G$13*U12-$H$13*V12-$J$13*T12)/$I$13</f>
        <v>3.359375</v>
      </c>
      <c r="X12" s="10">
        <f>($K$14-$G$14*U12-$H$14*V12-$I$14*W12)/$J$14</f>
        <v>4.453125</v>
      </c>
      <c r="Y12" s="14">
        <v>100</v>
      </c>
      <c r="Z12" s="14">
        <v>100</v>
      </c>
      <c r="AA12" s="14">
        <v>100</v>
      </c>
      <c r="AB12" s="14">
        <v>100</v>
      </c>
    </row>
    <row r="13" spans="7:28" x14ac:dyDescent="0.25">
      <c r="G13" s="2">
        <v>0</v>
      </c>
      <c r="H13" s="2">
        <v>-1</v>
      </c>
      <c r="I13" s="2">
        <v>4</v>
      </c>
      <c r="J13" s="2">
        <v>-1</v>
      </c>
      <c r="K13" s="3">
        <v>10</v>
      </c>
      <c r="N13" s="11"/>
      <c r="P13">
        <v>2</v>
      </c>
      <c r="Q13" s="9">
        <v>3.75</v>
      </c>
      <c r="R13" s="9">
        <v>3.4375</v>
      </c>
      <c r="S13" s="9">
        <v>3.359375</v>
      </c>
      <c r="T13" s="9">
        <v>4.453125</v>
      </c>
      <c r="U13" s="10">
        <f t="shared" ref="U13:U18" si="0">($K$11-$H$11*R13-$I$11*S13-$J$11*T13)/$G$11</f>
        <v>4.609375</v>
      </c>
      <c r="V13" s="10">
        <f t="shared" ref="V13:V18" si="1">($K$12-$G$12*U13-$I$12*S13-$J$12*T13)/$H$12</f>
        <v>4.4921875</v>
      </c>
      <c r="W13" s="10">
        <f t="shared" ref="W13:W18" si="2">($K$13-$G$13*U13-$H$13*V13-$J$13*T13)/$I$13</f>
        <v>4.736328125</v>
      </c>
      <c r="X13" s="10">
        <f t="shared" ref="X13:X18" si="3">($K$14-$G$14*U13-$H$14*V13-$I$14*W13)/$J$14</f>
        <v>4.912109375</v>
      </c>
      <c r="Y13" s="14">
        <f>ABS((U13-U12)/U13)*100</f>
        <v>18.64406779661017</v>
      </c>
      <c r="Z13" s="14">
        <f>ABS((V13-V12)/V13)*100</f>
        <v>23.478260869565219</v>
      </c>
      <c r="AA13" s="14">
        <f>ABS((W13-W12)/W13)*100</f>
        <v>29.072164948453612</v>
      </c>
      <c r="AB13" s="14">
        <f>ABS((X13-X12)/X13)*100</f>
        <v>9.3439363817097423</v>
      </c>
    </row>
    <row r="14" spans="7:28" x14ac:dyDescent="0.25">
      <c r="G14" s="2">
        <v>0</v>
      </c>
      <c r="H14" s="2">
        <v>0</v>
      </c>
      <c r="I14" s="2">
        <v>-1</v>
      </c>
      <c r="J14" s="2">
        <v>3</v>
      </c>
      <c r="K14" s="3">
        <v>10</v>
      </c>
      <c r="P14">
        <v>3</v>
      </c>
      <c r="Q14" s="9">
        <v>4.609375</v>
      </c>
      <c r="R14" s="9">
        <v>4.4921875</v>
      </c>
      <c r="S14" s="9">
        <v>4.736328125</v>
      </c>
      <c r="T14" s="9">
        <v>4.912109375</v>
      </c>
      <c r="U14" s="10">
        <f t="shared" si="0"/>
        <v>4.873046875</v>
      </c>
      <c r="V14" s="10">
        <f t="shared" si="1"/>
        <v>4.90234375</v>
      </c>
      <c r="W14" s="10">
        <f t="shared" si="2"/>
        <v>4.95361328125</v>
      </c>
      <c r="X14" s="10">
        <f t="shared" si="3"/>
        <v>4.984537760416667</v>
      </c>
      <c r="Y14" s="14">
        <f t="shared" ref="Y14:Y18" si="4">ABS((U14-U13)/U14)*100</f>
        <v>5.4108216432865728</v>
      </c>
      <c r="Z14" s="14">
        <f t="shared" ref="Z14:Z18" si="5">ABS((V14-V13)/V14)*100</f>
        <v>8.3665338645418323</v>
      </c>
      <c r="AA14" s="14">
        <f t="shared" ref="AA14:AA18" si="6">ABS((W14-W13)/W14)*100</f>
        <v>4.386397240019714</v>
      </c>
      <c r="AB14" s="14">
        <f t="shared" ref="AB14:AB18" si="7">ABS((X14-X13)/X14)*100</f>
        <v>1.4530612244898018</v>
      </c>
    </row>
    <row r="15" spans="7:28" x14ac:dyDescent="0.25">
      <c r="N15" s="11"/>
      <c r="P15">
        <v>4</v>
      </c>
      <c r="Q15" s="9">
        <v>4.873046875</v>
      </c>
      <c r="R15" s="9">
        <v>4.90234375</v>
      </c>
      <c r="S15" s="9">
        <v>4.95361328125</v>
      </c>
      <c r="T15" s="9">
        <v>4.984537760416667</v>
      </c>
      <c r="U15" s="10">
        <f t="shared" si="0"/>
        <v>4.9755859375</v>
      </c>
      <c r="V15" s="10">
        <f t="shared" si="1"/>
        <v>4.9822998046875</v>
      </c>
      <c r="W15" s="10">
        <f t="shared" si="2"/>
        <v>4.991709391276042</v>
      </c>
      <c r="X15" s="10">
        <f t="shared" si="3"/>
        <v>4.9972364637586812</v>
      </c>
      <c r="Y15" s="14">
        <f t="shared" si="4"/>
        <v>2.0608439646712462</v>
      </c>
      <c r="Z15" s="14">
        <f t="shared" si="5"/>
        <v>1.604802156070072</v>
      </c>
      <c r="AA15" s="14">
        <f t="shared" si="6"/>
        <v>0.76318765857287552</v>
      </c>
      <c r="AB15" s="14">
        <f t="shared" si="7"/>
        <v>0.25411451777614957</v>
      </c>
    </row>
    <row r="16" spans="7:28" x14ac:dyDescent="0.25">
      <c r="N16" s="11"/>
      <c r="P16">
        <v>5</v>
      </c>
      <c r="Q16" s="9">
        <v>4.9755859375</v>
      </c>
      <c r="R16" s="9">
        <v>4.9822998046875</v>
      </c>
      <c r="S16" s="9">
        <v>4.991709391276042</v>
      </c>
      <c r="T16" s="9">
        <v>4.9972364637586812</v>
      </c>
      <c r="U16" s="10">
        <f t="shared" si="0"/>
        <v>4.995574951171875</v>
      </c>
      <c r="V16" s="10">
        <f t="shared" si="1"/>
        <v>4.9968210856119795</v>
      </c>
      <c r="W16" s="10">
        <f t="shared" si="2"/>
        <v>4.9985143873426656</v>
      </c>
      <c r="X16" s="10">
        <f t="shared" si="3"/>
        <v>4.9995047957808891</v>
      </c>
      <c r="Y16" s="14">
        <f t="shared" si="4"/>
        <v>0.40013439628577535</v>
      </c>
      <c r="Z16" s="14">
        <f t="shared" si="5"/>
        <v>0.29061038359553326</v>
      </c>
      <c r="AA16" s="14">
        <f t="shared" si="6"/>
        <v>0.13614037170434881</v>
      </c>
      <c r="AB16" s="14">
        <f t="shared" si="7"/>
        <v>4.537113403955817E-2</v>
      </c>
    </row>
    <row r="17" spans="8:28" x14ac:dyDescent="0.25">
      <c r="N17" s="11"/>
      <c r="P17">
        <v>6</v>
      </c>
      <c r="Q17" s="9">
        <v>4.995574951171875</v>
      </c>
      <c r="R17" s="9">
        <v>4.9968210856119795</v>
      </c>
      <c r="S17" s="9">
        <v>4.9985143873426656</v>
      </c>
      <c r="T17" s="9">
        <v>4.9995047957808891</v>
      </c>
      <c r="U17" s="10">
        <f t="shared" si="0"/>
        <v>4.9992052714029951</v>
      </c>
      <c r="V17" s="10">
        <f t="shared" si="1"/>
        <v>4.9994299146864156</v>
      </c>
      <c r="W17" s="10">
        <f t="shared" si="2"/>
        <v>4.9997336776168266</v>
      </c>
      <c r="X17" s="10">
        <f t="shared" si="3"/>
        <v>4.9999112258722755</v>
      </c>
      <c r="Y17" s="14">
        <f t="shared" si="4"/>
        <v>7.2617946934218636E-2</v>
      </c>
      <c r="Z17" s="14">
        <f t="shared" si="5"/>
        <v>5.218253118765432E-2</v>
      </c>
      <c r="AA17" s="14">
        <f t="shared" si="6"/>
        <v>2.4387104449575366E-2</v>
      </c>
      <c r="AB17" s="14">
        <f t="shared" si="7"/>
        <v>8.1287461521980641E-3</v>
      </c>
    </row>
    <row r="18" spans="8:28" ht="18.75" x14ac:dyDescent="0.3">
      <c r="H18" s="17" t="s">
        <v>13</v>
      </c>
      <c r="N18" s="11"/>
      <c r="P18">
        <v>7</v>
      </c>
      <c r="Q18" s="9">
        <v>4.9992052714029951</v>
      </c>
      <c r="R18" s="9">
        <v>4.9994299146864156</v>
      </c>
      <c r="S18" s="9">
        <v>4.9997336776168266</v>
      </c>
      <c r="T18" s="9">
        <v>4.9999112258722755</v>
      </c>
      <c r="U18" s="10">
        <f t="shared" si="0"/>
        <v>4.9998574786716041</v>
      </c>
      <c r="V18" s="10">
        <f t="shared" si="1"/>
        <v>4.9998977890721079</v>
      </c>
      <c r="W18" s="10">
        <f t="shared" si="2"/>
        <v>4.9999522537360956</v>
      </c>
      <c r="X18" s="10">
        <f t="shared" si="3"/>
        <v>4.9999840845786983</v>
      </c>
      <c r="Y18" s="14">
        <f t="shared" si="4"/>
        <v>1.3044517196564621E-2</v>
      </c>
      <c r="Z18" s="14">
        <f t="shared" si="5"/>
        <v>9.3576790052566222E-3</v>
      </c>
      <c r="AA18" s="14">
        <f t="shared" si="6"/>
        <v>4.3715641305511199E-3</v>
      </c>
      <c r="AB18" s="14">
        <f t="shared" si="7"/>
        <v>1.4571787667769388E-3</v>
      </c>
    </row>
    <row r="19" spans="8:28" x14ac:dyDescent="0.25">
      <c r="N19" s="11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8:28" x14ac:dyDescent="0.25">
      <c r="N20" s="11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8:28" x14ac:dyDescent="0.25">
      <c r="N21" s="11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8:28" x14ac:dyDescent="0.25">
      <c r="N22" s="11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8:28" x14ac:dyDescent="0.25">
      <c r="Q23" s="16"/>
      <c r="R23" s="16" t="s">
        <v>12</v>
      </c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8:28" x14ac:dyDescent="0.25">
      <c r="N24" s="11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8:28" x14ac:dyDescent="0.25">
      <c r="N25" s="11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8:28" x14ac:dyDescent="0.25"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8:28" x14ac:dyDescent="0.25">
      <c r="N27" s="13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D6AE-0BB4-44C5-A357-B470A3ABFEA1}">
  <dimension ref="C13:W24"/>
  <sheetViews>
    <sheetView topLeftCell="B7" workbookViewId="0">
      <selection activeCell="D12" sqref="D12:I17"/>
    </sheetView>
  </sheetViews>
  <sheetFormatPr baseColWidth="10" defaultRowHeight="15" x14ac:dyDescent="0.25"/>
  <sheetData>
    <row r="13" spans="5:23" x14ac:dyDescent="0.25">
      <c r="E13" s="1" t="s">
        <v>0</v>
      </c>
      <c r="F13" s="1"/>
      <c r="G13" s="1"/>
      <c r="H13" s="1"/>
      <c r="I13" s="4" t="s">
        <v>1</v>
      </c>
      <c r="K13" t="s">
        <v>2</v>
      </c>
      <c r="L13" s="5" t="s">
        <v>4</v>
      </c>
      <c r="M13" s="5"/>
      <c r="N13" s="5"/>
      <c r="O13" s="5" t="s">
        <v>10</v>
      </c>
      <c r="P13" s="6" t="s">
        <v>5</v>
      </c>
      <c r="Q13" s="6"/>
      <c r="R13" s="6"/>
      <c r="S13" s="6"/>
      <c r="T13" s="15"/>
      <c r="U13" s="15" t="s">
        <v>11</v>
      </c>
      <c r="V13" s="15"/>
      <c r="W13" s="15"/>
    </row>
    <row r="14" spans="5:23" x14ac:dyDescent="0.25">
      <c r="E14" s="2">
        <v>4</v>
      </c>
      <c r="F14" s="2">
        <v>-1</v>
      </c>
      <c r="G14" s="2">
        <v>0</v>
      </c>
      <c r="H14" s="2">
        <v>0</v>
      </c>
      <c r="I14" s="3">
        <v>15</v>
      </c>
      <c r="K14" t="s">
        <v>3</v>
      </c>
      <c r="L14" s="7" t="s">
        <v>6</v>
      </c>
      <c r="M14" s="7" t="s">
        <v>7</v>
      </c>
      <c r="N14" s="7" t="s">
        <v>8</v>
      </c>
      <c r="O14" s="8" t="s">
        <v>9</v>
      </c>
      <c r="P14" s="8" t="s">
        <v>6</v>
      </c>
      <c r="Q14" s="8" t="s">
        <v>7</v>
      </c>
      <c r="R14" s="8" t="s">
        <v>8</v>
      </c>
      <c r="S14" s="8" t="s">
        <v>9</v>
      </c>
      <c r="T14" s="8" t="s">
        <v>6</v>
      </c>
      <c r="U14" s="8" t="s">
        <v>7</v>
      </c>
      <c r="V14" s="8" t="s">
        <v>8</v>
      </c>
      <c r="W14" s="8" t="s">
        <v>9</v>
      </c>
    </row>
    <row r="15" spans="5:23" x14ac:dyDescent="0.25">
      <c r="E15" s="2">
        <v>-1</v>
      </c>
      <c r="F15" s="2">
        <v>4</v>
      </c>
      <c r="G15" s="2">
        <v>-1</v>
      </c>
      <c r="H15" s="2">
        <v>0</v>
      </c>
      <c r="I15" s="3">
        <v>10</v>
      </c>
      <c r="K15">
        <v>1</v>
      </c>
      <c r="L15" s="9">
        <v>0</v>
      </c>
      <c r="M15" s="9">
        <v>0</v>
      </c>
      <c r="N15" s="9">
        <v>0</v>
      </c>
      <c r="O15" s="9">
        <v>0</v>
      </c>
      <c r="P15" s="10">
        <f>($H$19-$I$19)*L15+$I$19*(($I$14+M15)/$E$14)</f>
        <v>4.125</v>
      </c>
      <c r="Q15" s="10">
        <f>($H$19-$I$19)*M15+$I$19*(($I$15+P15+O15)/$F$15)</f>
        <v>3.8843750000000004</v>
      </c>
      <c r="R15" s="10">
        <f>($H$19-$I$19)*N15+$I$19*(($I$16+Q15+O15)/$G$16)</f>
        <v>3.8182031250000006</v>
      </c>
      <c r="S15" s="10">
        <f>($H$19-$I$19)*O15+$I$19*(($I$17+R15)/$H$17)</f>
        <v>5.0666744791666671</v>
      </c>
      <c r="T15" s="14">
        <v>100</v>
      </c>
      <c r="U15" s="14">
        <v>100</v>
      </c>
      <c r="V15" s="14">
        <v>100</v>
      </c>
      <c r="W15" s="14">
        <v>100</v>
      </c>
    </row>
    <row r="16" spans="5:23" x14ac:dyDescent="0.25">
      <c r="E16" s="2">
        <v>0</v>
      </c>
      <c r="F16" s="2">
        <v>-1</v>
      </c>
      <c r="G16" s="2">
        <v>4</v>
      </c>
      <c r="H16" s="2">
        <v>-1</v>
      </c>
      <c r="I16" s="3">
        <v>10</v>
      </c>
      <c r="K16">
        <v>2</v>
      </c>
      <c r="L16" s="9">
        <v>4.125</v>
      </c>
      <c r="M16" s="9">
        <v>3.8843750000000004</v>
      </c>
      <c r="N16" s="9">
        <v>3.8182031250000006</v>
      </c>
      <c r="O16" s="9">
        <v>5.0666744791666671</v>
      </c>
      <c r="P16" s="10">
        <f t="shared" ref="P16:P20" si="0">($H$19-$I$19)*L16+$I$19*(($I$14+M16)/$E$14)</f>
        <v>4.7807031249999996</v>
      </c>
      <c r="Q16" s="10">
        <f t="shared" ref="Q16:Q20" si="1">($H$19-$I$19)*M16+$I$19*(($I$15+P16+O16)/$F$15)</f>
        <v>5.0695913411458333</v>
      </c>
      <c r="R16" s="10">
        <f t="shared" ref="R16:R20" si="2">($H$19-$I$19)*N16+$I$19*(($I$16+Q16+O16)/$G$16)</f>
        <v>5.1556527880859386</v>
      </c>
      <c r="S16" s="10">
        <f t="shared" ref="S16:S20" si="3">($H$19-$I$19)*O16+$I$19*(($I$17+R16)/$H$17)</f>
        <v>5.0504052410481775</v>
      </c>
      <c r="T16" s="14">
        <f>ABS((P16-P15)/P16)*100</f>
        <v>13.715621067769183</v>
      </c>
      <c r="U16" s="14">
        <f>ABS((Q16-Q15)/Q16)*100</f>
        <v>23.378932568516447</v>
      </c>
      <c r="V16" s="14">
        <f>ABS((R16-R15)/R16)*100</f>
        <v>25.941422319528868</v>
      </c>
      <c r="W16" s="14">
        <f>ABS((S16-S15)/S16)*100</f>
        <v>0.3221372809108109</v>
      </c>
    </row>
    <row r="17" spans="3:23" x14ac:dyDescent="0.25">
      <c r="E17" s="2">
        <v>0</v>
      </c>
      <c r="F17" s="2">
        <v>0</v>
      </c>
      <c r="G17" s="2">
        <v>-1</v>
      </c>
      <c r="H17" s="2">
        <v>3</v>
      </c>
      <c r="I17" s="3">
        <v>10</v>
      </c>
      <c r="K17">
        <v>3</v>
      </c>
      <c r="L17" s="9">
        <v>4.7807031249999996</v>
      </c>
      <c r="M17" s="9">
        <v>5.0695913411458333</v>
      </c>
      <c r="N17" s="9">
        <v>5.1556527880859386</v>
      </c>
      <c r="O17" s="9">
        <v>5.0504052410481775</v>
      </c>
      <c r="P17" s="10">
        <f t="shared" si="0"/>
        <v>5.0410673063151039</v>
      </c>
      <c r="Q17" s="10">
        <f t="shared" si="1"/>
        <v>5.0181958164103193</v>
      </c>
      <c r="R17" s="10">
        <f t="shared" si="2"/>
        <v>5.0033000119924926</v>
      </c>
      <c r="S17" s="10">
        <f t="shared" si="3"/>
        <v>4.996169480292429</v>
      </c>
      <c r="T17" s="14">
        <f t="shared" ref="T17:T20" si="4">ABS((P17-P16)/P17)*100</f>
        <v>5.1648622304434992</v>
      </c>
      <c r="U17" s="14">
        <f t="shared" ref="U17:U20" si="5">ABS((Q17-Q16)/Q17)*100</f>
        <v>1.0241833243621592</v>
      </c>
      <c r="V17" s="14">
        <f t="shared" ref="V17:V20" si="6">ABS((R17-R16)/R17)*100</f>
        <v>3.0450457843477126</v>
      </c>
      <c r="W17" s="14">
        <f t="shared" ref="W17:W20" si="7">ABS((S17-S16)/S17)*100</f>
        <v>1.0855468568406925</v>
      </c>
    </row>
    <row r="18" spans="3:23" x14ac:dyDescent="0.25">
      <c r="K18">
        <v>4</v>
      </c>
      <c r="L18" s="9">
        <v>5.0410673063151039</v>
      </c>
      <c r="M18" s="9">
        <v>5.0181958164103193</v>
      </c>
      <c r="N18" s="9">
        <v>5.0033000119924926</v>
      </c>
      <c r="O18" s="9">
        <v>4.996169480292429</v>
      </c>
      <c r="P18" s="10">
        <f t="shared" si="0"/>
        <v>5.0008971188813272</v>
      </c>
      <c r="Q18" s="10">
        <f t="shared" si="1"/>
        <v>4.9973737331317514</v>
      </c>
      <c r="R18" s="10">
        <f t="shared" si="2"/>
        <v>4.9978943824924009</v>
      </c>
      <c r="S18" s="10">
        <f t="shared" si="3"/>
        <v>4.9996109922179715</v>
      </c>
      <c r="T18" s="14">
        <f t="shared" si="4"/>
        <v>0.80325962480033208</v>
      </c>
      <c r="U18" s="14">
        <f t="shared" si="5"/>
        <v>0.41666051791405978</v>
      </c>
      <c r="V18" s="14">
        <f t="shared" si="6"/>
        <v>0.10815813793559957</v>
      </c>
      <c r="W18" s="14">
        <f t="shared" si="7"/>
        <v>6.8835594027200006E-2</v>
      </c>
    </row>
    <row r="19" spans="3:23" x14ac:dyDescent="0.25">
      <c r="H19" s="7">
        <v>1</v>
      </c>
      <c r="I19" s="7">
        <v>1.1000000000000001</v>
      </c>
      <c r="K19">
        <v>5</v>
      </c>
      <c r="L19" s="9">
        <v>5.0008971188813272</v>
      </c>
      <c r="M19" s="9">
        <v>4.9973737331317514</v>
      </c>
      <c r="N19" s="9">
        <v>4.9978943824924009</v>
      </c>
      <c r="O19" s="9">
        <v>4.9996109922179715</v>
      </c>
      <c r="P19" s="10">
        <f t="shared" si="0"/>
        <v>4.9991880647230991</v>
      </c>
      <c r="Q19" s="10">
        <f t="shared" si="1"/>
        <v>4.9999323673456191</v>
      </c>
      <c r="R19" s="10">
        <f t="shared" si="2"/>
        <v>5.000084985630747</v>
      </c>
      <c r="S19" s="10">
        <f t="shared" si="3"/>
        <v>5.0000700621761425</v>
      </c>
      <c r="T19" s="14">
        <f t="shared" si="4"/>
        <v>3.4186634631492865E-2</v>
      </c>
      <c r="U19" s="14">
        <f t="shared" si="5"/>
        <v>5.1173376475611043E-2</v>
      </c>
      <c r="V19" s="14">
        <f t="shared" si="6"/>
        <v>4.3811318100420875E-2</v>
      </c>
      <c r="W19" s="14">
        <f t="shared" si="7"/>
        <v>9.1812705114620655E-3</v>
      </c>
    </row>
    <row r="20" spans="3:23" x14ac:dyDescent="0.25">
      <c r="K20">
        <v>6</v>
      </c>
      <c r="L20" s="9">
        <v>4.9991880647230991</v>
      </c>
      <c r="M20" s="9">
        <v>4.9999323673456191</v>
      </c>
      <c r="N20" s="9">
        <v>5.000084985630747</v>
      </c>
      <c r="O20" s="9">
        <v>5.0000700621761425</v>
      </c>
      <c r="P20" s="10">
        <f t="shared" si="0"/>
        <v>5.0000625945477353</v>
      </c>
      <c r="Q20" s="10">
        <f t="shared" si="1"/>
        <v>5.0000432438645044</v>
      </c>
      <c r="R20" s="10">
        <f t="shared" si="2"/>
        <v>5.0000226605981029</v>
      </c>
      <c r="S20" s="10">
        <f t="shared" si="3"/>
        <v>5.0000013026683563</v>
      </c>
      <c r="T20" s="14">
        <f t="shared" si="4"/>
        <v>1.7490377532269841E-2</v>
      </c>
      <c r="U20" s="14">
        <f t="shared" si="5"/>
        <v>2.2175111989553467E-3</v>
      </c>
      <c r="V20" s="14">
        <f t="shared" si="6"/>
        <v>1.2464950036183244E-3</v>
      </c>
      <c r="W20" s="14">
        <f t="shared" si="7"/>
        <v>1.3751897974402692E-3</v>
      </c>
    </row>
    <row r="21" spans="3:23" x14ac:dyDescent="0.25"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3:23" x14ac:dyDescent="0.25">
      <c r="C22" t="s">
        <v>14</v>
      </c>
    </row>
    <row r="24" spans="3:23" x14ac:dyDescent="0.25">
      <c r="N24" t="s">
        <v>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25B6-A87A-498E-AF01-DED7D119188D}">
  <dimension ref="F10:T20"/>
  <sheetViews>
    <sheetView tabSelected="1" workbookViewId="0">
      <selection activeCell="N13" sqref="N13"/>
    </sheetView>
  </sheetViews>
  <sheetFormatPr baseColWidth="10" defaultRowHeight="15" x14ac:dyDescent="0.25"/>
  <sheetData>
    <row r="10" spans="6:20" x14ac:dyDescent="0.25">
      <c r="F10" s="1" t="s">
        <v>0</v>
      </c>
      <c r="G10" s="1"/>
      <c r="H10" s="1"/>
      <c r="I10" s="1"/>
      <c r="J10" s="4" t="s">
        <v>1</v>
      </c>
      <c r="L10" t="s">
        <v>2</v>
      </c>
      <c r="M10" s="5" t="s">
        <v>21</v>
      </c>
      <c r="N10" s="5"/>
      <c r="O10" s="5"/>
      <c r="P10" s="5" t="s">
        <v>10</v>
      </c>
      <c r="Q10" s="6" t="s">
        <v>20</v>
      </c>
      <c r="R10" s="6"/>
      <c r="S10" s="6"/>
      <c r="T10" s="6"/>
    </row>
    <row r="11" spans="6:20" x14ac:dyDescent="0.25">
      <c r="F11" s="2">
        <v>4</v>
      </c>
      <c r="G11" s="2">
        <v>-1</v>
      </c>
      <c r="H11" s="2">
        <v>0</v>
      </c>
      <c r="I11" s="2">
        <v>0</v>
      </c>
      <c r="J11" s="3">
        <v>15</v>
      </c>
      <c r="L11" t="s">
        <v>3</v>
      </c>
      <c r="M11" s="7" t="s">
        <v>6</v>
      </c>
      <c r="N11" s="7" t="s">
        <v>7</v>
      </c>
      <c r="O11" s="7" t="s">
        <v>8</v>
      </c>
      <c r="P11" s="8" t="s">
        <v>9</v>
      </c>
      <c r="Q11" s="8" t="s">
        <v>16</v>
      </c>
      <c r="R11" s="8" t="s">
        <v>17</v>
      </c>
      <c r="S11" s="8" t="s">
        <v>18</v>
      </c>
      <c r="T11" s="8" t="s">
        <v>19</v>
      </c>
    </row>
    <row r="12" spans="6:20" x14ac:dyDescent="0.25">
      <c r="F12" s="2">
        <v>-1</v>
      </c>
      <c r="G12" s="2">
        <v>4</v>
      </c>
      <c r="H12" s="2">
        <v>-1</v>
      </c>
      <c r="I12" s="2">
        <v>0</v>
      </c>
      <c r="J12" s="3">
        <v>10</v>
      </c>
      <c r="L12">
        <v>1</v>
      </c>
      <c r="M12" s="9">
        <v>0</v>
      </c>
      <c r="N12" s="9">
        <v>0</v>
      </c>
      <c r="O12" s="9">
        <v>0</v>
      </c>
      <c r="P12" s="9">
        <v>0</v>
      </c>
      <c r="Q12" s="10">
        <v>15</v>
      </c>
      <c r="R12" s="10">
        <v>10</v>
      </c>
      <c r="S12" s="10">
        <v>10</v>
      </c>
      <c r="T12" s="10">
        <v>10</v>
      </c>
    </row>
    <row r="13" spans="6:20" x14ac:dyDescent="0.25">
      <c r="F13" s="2">
        <v>0</v>
      </c>
      <c r="G13" s="2">
        <v>-1</v>
      </c>
      <c r="H13" s="2">
        <v>4</v>
      </c>
      <c r="I13" s="2">
        <v>-1</v>
      </c>
      <c r="J13" s="3">
        <v>10</v>
      </c>
      <c r="L13">
        <v>2</v>
      </c>
      <c r="M13" s="9">
        <v>6.0579999999999998</v>
      </c>
      <c r="N13" s="9">
        <v>4.0380000000000003</v>
      </c>
      <c r="O13" s="9">
        <v>4.0380000000000003</v>
      </c>
      <c r="P13" s="9">
        <v>4.0380000000000003</v>
      </c>
      <c r="Q13" s="10">
        <v>-0.28799999999999998</v>
      </c>
      <c r="R13" s="10">
        <v>1.4419999999999999</v>
      </c>
      <c r="S13" s="10">
        <v>-0.57699999999999996</v>
      </c>
      <c r="T13" s="10">
        <v>-2.1150000000000002</v>
      </c>
    </row>
    <row r="14" spans="6:20" x14ac:dyDescent="0.25">
      <c r="F14" s="2">
        <v>0</v>
      </c>
      <c r="G14" s="2">
        <v>0</v>
      </c>
      <c r="H14" s="2">
        <v>-1</v>
      </c>
      <c r="I14" s="2">
        <v>3</v>
      </c>
      <c r="J14" s="3">
        <v>10</v>
      </c>
      <c r="L14">
        <v>3</v>
      </c>
      <c r="M14" s="9">
        <v>4.7880000000000003</v>
      </c>
      <c r="N14" s="9">
        <v>4.8710000000000004</v>
      </c>
      <c r="O14" s="9">
        <v>4.3730000000000002</v>
      </c>
      <c r="P14" s="9">
        <v>4.8209999999999997</v>
      </c>
      <c r="Q14" s="10">
        <v>0</v>
      </c>
      <c r="R14" s="10">
        <v>-0.192</v>
      </c>
      <c r="S14" s="10">
        <v>0.192</v>
      </c>
      <c r="T14" s="10">
        <v>-0.57699999999999996</v>
      </c>
    </row>
    <row r="15" spans="6:20" x14ac:dyDescent="0.25">
      <c r="L15">
        <v>4</v>
      </c>
      <c r="M15" s="9">
        <v>4.96</v>
      </c>
      <c r="N15" s="9">
        <v>4.99</v>
      </c>
      <c r="O15" s="9">
        <v>4.96</v>
      </c>
      <c r="P15" s="9">
        <v>4.9800000000000004</v>
      </c>
      <c r="Q15" s="10">
        <v>0.04</v>
      </c>
      <c r="R15" s="10">
        <v>0.01</v>
      </c>
      <c r="S15" s="10">
        <v>-0.01</v>
      </c>
      <c r="T15" s="10">
        <v>-0.02</v>
      </c>
    </row>
    <row r="16" spans="6:20" x14ac:dyDescent="0.25">
      <c r="L16">
        <v>5</v>
      </c>
      <c r="M16" s="9">
        <v>5</v>
      </c>
      <c r="N16" s="9">
        <v>5</v>
      </c>
      <c r="O16" s="9">
        <v>5</v>
      </c>
      <c r="P16" s="9">
        <v>5</v>
      </c>
      <c r="Q16" s="10">
        <v>0</v>
      </c>
      <c r="R16" s="10">
        <v>0</v>
      </c>
      <c r="S16" s="10">
        <v>0</v>
      </c>
      <c r="T16" s="10">
        <v>0</v>
      </c>
    </row>
    <row r="17" spans="10:20" x14ac:dyDescent="0.25">
      <c r="M17" s="18"/>
      <c r="N17" s="18"/>
      <c r="O17" s="18"/>
      <c r="P17" s="18"/>
      <c r="Q17" s="18"/>
      <c r="R17" s="18"/>
      <c r="S17" s="18"/>
      <c r="T17" s="18"/>
    </row>
    <row r="20" spans="10:20" x14ac:dyDescent="0.25">
      <c r="J20" t="s">
        <v>22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Metodo Gauss-Seidel</vt:lpstr>
      <vt:lpstr>Metodo SOR</vt:lpstr>
      <vt:lpstr>Metodo Gradiente Cojugado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2026-03-21T00:20:38Z</dcterms:modified>
</cp:coreProperties>
</file>